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lloveras/Documents/ESTUDIO/UBA/Materias/AE 1/results/"/>
    </mc:Choice>
  </mc:AlternateContent>
  <xr:revisionPtr revIDLastSave="0" documentId="13_ncr:1_{00ACD512-0540-4841-BF0C-CD188FD6C73F}" xr6:coauthVersionLast="47" xr6:coauthVersionMax="47" xr10:uidLastSave="{00000000-0000-0000-0000-000000000000}"/>
  <bookViews>
    <workbookView xWindow="11200" yWindow="500" windowWidth="21980" windowHeight="20500" xr2:uid="{AE678726-6B72-BF48-90A5-74BCAB8F5099}"/>
  </bookViews>
  <sheets>
    <sheet name="NSGA-II" sheetId="1" r:id="rId1"/>
    <sheet name="Otr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F15" i="2"/>
  <c r="D15" i="2"/>
  <c r="C15" i="2"/>
  <c r="D8" i="2"/>
  <c r="C8" i="2"/>
  <c r="B15" i="2"/>
  <c r="B13" i="2"/>
  <c r="B8" i="2"/>
  <c r="E15" i="2"/>
  <c r="F13" i="2"/>
  <c r="E13" i="2"/>
  <c r="D13" i="2"/>
  <c r="C13" i="2"/>
  <c r="B15" i="1"/>
  <c r="C15" i="1"/>
  <c r="D15" i="1"/>
  <c r="F15" i="1"/>
  <c r="G15" i="1"/>
  <c r="E15" i="1"/>
  <c r="H15" i="1"/>
  <c r="B13" i="1"/>
  <c r="C13" i="1"/>
  <c r="D13" i="1"/>
  <c r="E13" i="1"/>
  <c r="F13" i="1"/>
  <c r="G13" i="1"/>
  <c r="H13" i="1"/>
  <c r="I13" i="1"/>
  <c r="H8" i="1"/>
  <c r="I8" i="1"/>
  <c r="E8" i="1"/>
  <c r="F8" i="1"/>
  <c r="G8" i="1"/>
  <c r="D8" i="1"/>
  <c r="C8" i="1"/>
  <c r="B8" i="1"/>
</calcChain>
</file>

<file path=xl/sharedStrings.xml><?xml version="1.0" encoding="utf-8"?>
<sst xmlns="http://schemas.openxmlformats.org/spreadsheetml/2006/main" count="59" uniqueCount="42">
  <si>
    <t>Población</t>
  </si>
  <si>
    <t>Generaciones</t>
  </si>
  <si>
    <t>P. de Mutación</t>
  </si>
  <si>
    <t>P.  de Cruce</t>
  </si>
  <si>
    <t>T. Individuos</t>
  </si>
  <si>
    <t>Base</t>
  </si>
  <si>
    <t>NSGA-II</t>
  </si>
  <si>
    <t>Mutación ↓</t>
  </si>
  <si>
    <t>Mutación ↑</t>
  </si>
  <si>
    <t>Población ↓</t>
  </si>
  <si>
    <t>Población ↑</t>
  </si>
  <si>
    <t>Generaciones ↑</t>
  </si>
  <si>
    <t>Cruce ↑</t>
  </si>
  <si>
    <t>Mix</t>
  </si>
  <si>
    <t>Fitness medio</t>
  </si>
  <si>
    <t>Resultados obtenidos</t>
  </si>
  <si>
    <t>Configuración inicial</t>
  </si>
  <si>
    <t>Compresión</t>
  </si>
  <si>
    <t>fitness</t>
  </si>
  <si>
    <t>file_size</t>
  </si>
  <si>
    <t>peaq_score</t>
  </si>
  <si>
    <t>distortion_index</t>
  </si>
  <si>
    <t>processing_time</t>
  </si>
  <si>
    <t>"{'ar': '44100', 'sample_fmt': 's32p', 'compression_level': '4', 'reservoir': '0', 'b:a': '190k'}"</t>
  </si>
  <si>
    <t>MEJOR DE MIX</t>
  </si>
  <si>
    <t>Ganadores</t>
  </si>
  <si>
    <t>Óptimos</t>
  </si>
  <si>
    <t>Tasa de éxito</t>
  </si>
  <si>
    <t>PEAQ</t>
  </si>
  <si>
    <t>IM</t>
  </si>
  <si>
    <t>Tamaño (kB)</t>
  </si>
  <si>
    <t>-0.764330</t>
  </si>
  <si>
    <t>0.,84</t>
  </si>
  <si>
    <t>Best</t>
  </si>
  <si>
    <t>2nd Best</t>
  </si>
  <si>
    <t>NSGA-III</t>
  </si>
  <si>
    <t>SPEA2</t>
  </si>
  <si>
    <t>PAES</t>
  </si>
  <si>
    <t>MOAE/D</t>
  </si>
  <si>
    <t>2º Best</t>
  </si>
  <si>
    <t>N/A</t>
  </si>
  <si>
    <t>Tamaño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</si>
</sst>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#,##0.00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1B1C1D"/>
      <name val="Arial"/>
      <family val="2"/>
    </font>
    <font>
      <sz val="11"/>
      <color rgb="FF1B1C1D"/>
      <name val="Arial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sz val="13"/>
      <color rgb="FFCCCCCC"/>
      <name val="Arial"/>
      <family val="2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3" fontId="8" fillId="0" borderId="0" xfId="0" applyNumberFormat="1" applyFont="1"/>
    <xf numFmtId="0" fontId="8" fillId="0" borderId="0" xfId="0" applyFont="1"/>
    <xf numFmtId="0" fontId="5" fillId="2" borderId="0" xfId="0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4" fontId="5" fillId="2" borderId="0" xfId="1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9" fontId="5" fillId="3" borderId="0" xfId="0" applyNumberFormat="1" applyFon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9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9" fontId="4" fillId="4" borderId="0" xfId="0" applyNumberFormat="1" applyFont="1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6" fillId="4" borderId="0" xfId="0" applyFont="1" applyFill="1" applyAlignment="1">
      <alignment horizontal="center"/>
    </xf>
    <xf numFmtId="9" fontId="3" fillId="4" borderId="0" xfId="0" applyNumberFormat="1" applyFont="1" applyFill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9" fillId="5" borderId="0" xfId="0" applyFont="1" applyFill="1" applyAlignment="1">
      <alignment horizontal="left"/>
    </xf>
    <xf numFmtId="0" fontId="10" fillId="5" borderId="0" xfId="0" applyFont="1" applyFill="1" applyAlignment="1">
      <alignment horizontal="center"/>
    </xf>
    <xf numFmtId="0" fontId="10" fillId="5" borderId="0" xfId="0" applyFont="1" applyFill="1"/>
    <xf numFmtId="0" fontId="9" fillId="5" borderId="0" xfId="0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'NSGA-II'!$A$10</c:f>
              <c:strCache>
                <c:ptCount val="1"/>
                <c:pt idx="0">
                  <c:v>Fitness medio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'NSGA-II'!$B$3:$I$3</c:f>
              <c:strCache>
                <c:ptCount val="8"/>
                <c:pt idx="0">
                  <c:v>Base</c:v>
                </c:pt>
                <c:pt idx="1">
                  <c:v>Mutación ↑</c:v>
                </c:pt>
                <c:pt idx="2">
                  <c:v>Mutación ↓</c:v>
                </c:pt>
                <c:pt idx="3">
                  <c:v>Población ↓</c:v>
                </c:pt>
                <c:pt idx="4">
                  <c:v>Población ↑</c:v>
                </c:pt>
                <c:pt idx="5">
                  <c:v>Generaciones ↑</c:v>
                </c:pt>
                <c:pt idx="6">
                  <c:v>Cruce ↑</c:v>
                </c:pt>
                <c:pt idx="7">
                  <c:v>Mix</c:v>
                </c:pt>
              </c:strCache>
            </c:strRef>
          </c:cat>
          <c:val>
            <c:numRef>
              <c:f>'NSGA-II'!$B$10:$I$10</c:f>
              <c:numCache>
                <c:formatCode>#,##0.000</c:formatCode>
                <c:ptCount val="8"/>
                <c:pt idx="0">
                  <c:v>1.7589999999999999</c:v>
                </c:pt>
                <c:pt idx="1">
                  <c:v>0</c:v>
                </c:pt>
                <c:pt idx="2">
                  <c:v>0.31</c:v>
                </c:pt>
                <c:pt idx="3">
                  <c:v>1.038</c:v>
                </c:pt>
                <c:pt idx="4">
                  <c:v>0.30199999999999999</c:v>
                </c:pt>
                <c:pt idx="5">
                  <c:v>1.915</c:v>
                </c:pt>
                <c:pt idx="6">
                  <c:v>0.73499999999999999</c:v>
                </c:pt>
                <c:pt idx="7">
                  <c:v>1.8879999999999999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F5-5947-B820-4E5338F111BD}"/>
            </c:ext>
          </c:extLst>
        </c:ser>
        <c:ser>
          <c:idx val="1"/>
          <c:order val="1"/>
          <c:tx>
            <c:strRef>
              <c:f>'NSGA-II'!$A$13</c:f>
              <c:strCache>
                <c:ptCount val="1"/>
                <c:pt idx="0">
                  <c:v>Tasa de éxito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'NSGA-II'!$B$3:$I$3</c:f>
              <c:strCache>
                <c:ptCount val="8"/>
                <c:pt idx="0">
                  <c:v>Base</c:v>
                </c:pt>
                <c:pt idx="1">
                  <c:v>Mutación ↑</c:v>
                </c:pt>
                <c:pt idx="2">
                  <c:v>Mutación ↓</c:v>
                </c:pt>
                <c:pt idx="3">
                  <c:v>Población ↓</c:v>
                </c:pt>
                <c:pt idx="4">
                  <c:v>Población ↑</c:v>
                </c:pt>
                <c:pt idx="5">
                  <c:v>Generaciones ↑</c:v>
                </c:pt>
                <c:pt idx="6">
                  <c:v>Cruce ↑</c:v>
                </c:pt>
                <c:pt idx="7">
                  <c:v>Mix</c:v>
                </c:pt>
              </c:strCache>
            </c:strRef>
          </c:cat>
          <c:val>
            <c:numRef>
              <c:f>'NSGA-II'!$B$13:$I$13</c:f>
              <c:numCache>
                <c:formatCode>0%</c:formatCode>
                <c:ptCount val="8"/>
                <c:pt idx="0">
                  <c:v>0.53913043478260869</c:v>
                </c:pt>
                <c:pt idx="1">
                  <c:v>0.49268292682926829</c:v>
                </c:pt>
                <c:pt idx="2">
                  <c:v>0.40659340659340659</c:v>
                </c:pt>
                <c:pt idx="3">
                  <c:v>0.6310679611650486</c:v>
                </c:pt>
                <c:pt idx="4">
                  <c:v>0.48322147651006714</c:v>
                </c:pt>
                <c:pt idx="5">
                  <c:v>0.48305084745762711</c:v>
                </c:pt>
                <c:pt idx="6">
                  <c:v>0.45853658536585368</c:v>
                </c:pt>
                <c:pt idx="7">
                  <c:v>0.47701149425287354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F5-5947-B820-4E5338F111BD}"/>
            </c:ext>
          </c:extLst>
        </c:ser>
        <c:ser>
          <c:idx val="2"/>
          <c:order val="2"/>
          <c:tx>
            <c:strRef>
              <c:f>'NSGA-II'!$A$15</c:f>
              <c:strCache>
                <c:ptCount val="1"/>
                <c:pt idx="0">
                  <c:v>Compresión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'NSGA-II'!$B$3:$I$3</c:f>
              <c:strCache>
                <c:ptCount val="8"/>
                <c:pt idx="0">
                  <c:v>Base</c:v>
                </c:pt>
                <c:pt idx="1">
                  <c:v>Mutación ↑</c:v>
                </c:pt>
                <c:pt idx="2">
                  <c:v>Mutación ↓</c:v>
                </c:pt>
                <c:pt idx="3">
                  <c:v>Población ↓</c:v>
                </c:pt>
                <c:pt idx="4">
                  <c:v>Población ↑</c:v>
                </c:pt>
                <c:pt idx="5">
                  <c:v>Generaciones ↑</c:v>
                </c:pt>
                <c:pt idx="6">
                  <c:v>Cruce ↑</c:v>
                </c:pt>
                <c:pt idx="7">
                  <c:v>Mix</c:v>
                </c:pt>
              </c:strCache>
            </c:strRef>
          </c:cat>
          <c:val>
            <c:numRef>
              <c:f>'NSGA-II'!$B$15:$I$15</c:f>
              <c:numCache>
                <c:formatCode>0.000%</c:formatCode>
                <c:ptCount val="8"/>
                <c:pt idx="0">
                  <c:v>-0.96648058046062679</c:v>
                </c:pt>
                <c:pt idx="1">
                  <c:v>-0.96645835098760235</c:v>
                </c:pt>
                <c:pt idx="2">
                  <c:v>-0.96500883484172184</c:v>
                </c:pt>
                <c:pt idx="3">
                  <c:v>-0.96678167363643508</c:v>
                </c:pt>
                <c:pt idx="4">
                  <c:v>-0.96596354961720066</c:v>
                </c:pt>
                <c:pt idx="5">
                  <c:v>-0.96624928516348929</c:v>
                </c:pt>
                <c:pt idx="6">
                  <c:v>-0.96766515769125583</c:v>
                </c:pt>
                <c:pt idx="7">
                  <c:v>-0.96858875040639048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F5-5947-B820-4E5338F111BD}"/>
            </c:ext>
          </c:extLst>
        </c:ser>
        <c:ser>
          <c:idx val="4"/>
          <c:order val="4"/>
          <c:tx>
            <c:strRef>
              <c:f>'NSGA-II'!$A$17</c:f>
              <c:strCache>
                <c:ptCount val="1"/>
                <c:pt idx="0">
                  <c:v>IM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'NSGA-II'!$B$3:$I$3</c:f>
              <c:strCache>
                <c:ptCount val="8"/>
                <c:pt idx="0">
                  <c:v>Base</c:v>
                </c:pt>
                <c:pt idx="1">
                  <c:v>Mutación ↑</c:v>
                </c:pt>
                <c:pt idx="2">
                  <c:v>Mutación ↓</c:v>
                </c:pt>
                <c:pt idx="3">
                  <c:v>Población ↓</c:v>
                </c:pt>
                <c:pt idx="4">
                  <c:v>Población ↑</c:v>
                </c:pt>
                <c:pt idx="5">
                  <c:v>Generaciones ↑</c:v>
                </c:pt>
                <c:pt idx="6">
                  <c:v>Cruce ↑</c:v>
                </c:pt>
                <c:pt idx="7">
                  <c:v>Mix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E6F5-5947-B820-4E5338F11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3322031"/>
        <c:axId val="648466767"/>
      </c:lineChart>
      <c:lineChart>
        <c:grouping val="standard"/>
        <c:varyColors val="0"/>
        <c:ser>
          <c:idx val="3"/>
          <c:order val="3"/>
          <c:tx>
            <c:strRef>
              <c:f>'NSGA-II'!$A$16</c:f>
              <c:strCache>
                <c:ptCount val="1"/>
                <c:pt idx="0">
                  <c:v>PEAQ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'NSGA-II'!$B$3:$I$3</c:f>
              <c:strCache>
                <c:ptCount val="8"/>
                <c:pt idx="0">
                  <c:v>Base</c:v>
                </c:pt>
                <c:pt idx="1">
                  <c:v>Mutación ↑</c:v>
                </c:pt>
                <c:pt idx="2">
                  <c:v>Mutación ↓</c:v>
                </c:pt>
                <c:pt idx="3">
                  <c:v>Población ↓</c:v>
                </c:pt>
                <c:pt idx="4">
                  <c:v>Población ↑</c:v>
                </c:pt>
                <c:pt idx="5">
                  <c:v>Generaciones ↑</c:v>
                </c:pt>
                <c:pt idx="6">
                  <c:v>Cruce ↑</c:v>
                </c:pt>
                <c:pt idx="7">
                  <c:v>Mix</c:v>
                </c:pt>
              </c:strCache>
            </c:strRef>
          </c:cat>
          <c:val>
            <c:numRef>
              <c:f>'NSGA-II'!$B$16:$I$16</c:f>
              <c:numCache>
                <c:formatCode>General</c:formatCode>
                <c:ptCount val="8"/>
                <c:pt idx="0">
                  <c:v>-2.6276290000000002</c:v>
                </c:pt>
                <c:pt idx="1">
                  <c:v>-2.6345939999999999</c:v>
                </c:pt>
                <c:pt idx="2">
                  <c:v>-2.6394319999999998</c:v>
                </c:pt>
                <c:pt idx="3">
                  <c:v>-2.6360619999999999</c:v>
                </c:pt>
                <c:pt idx="4">
                  <c:v>-2.627472</c:v>
                </c:pt>
                <c:pt idx="5">
                  <c:v>-2.6349649999999998</c:v>
                </c:pt>
                <c:pt idx="6">
                  <c:v>-2.6451280000000001</c:v>
                </c:pt>
                <c:pt idx="7">
                  <c:v>-2.6480959999999998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F5-5947-B820-4E5338F11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862271"/>
        <c:axId val="659740639"/>
      </c:lineChart>
      <c:dateAx>
        <c:axId val="95332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8466767"/>
        <c:crossesAt val="1E-4"/>
        <c:auto val="0"/>
        <c:lblOffset val="100"/>
        <c:baseTimeUnit val="days"/>
      </c:dateAx>
      <c:valAx>
        <c:axId val="6484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53322031"/>
        <c:crosses val="autoZero"/>
        <c:crossBetween val="between"/>
      </c:valAx>
      <c:valAx>
        <c:axId val="6597406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59862271"/>
        <c:crosses val="max"/>
        <c:crossBetween val="between"/>
      </c:valAx>
      <c:catAx>
        <c:axId val="659862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9740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24</xdr:row>
      <xdr:rowOff>190500</xdr:rowOff>
    </xdr:from>
    <xdr:to>
      <xdr:col>9</xdr:col>
      <xdr:colOff>508000</xdr:colOff>
      <xdr:row>53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4D3641E-11FE-936E-C423-9A3B9D0EF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668B-4882-124A-9FA7-1652A8983911}">
  <dimension ref="A2:L98"/>
  <sheetViews>
    <sheetView tabSelected="1" workbookViewId="0">
      <selection activeCell="H19" sqref="H19"/>
    </sheetView>
  </sheetViews>
  <sheetFormatPr baseColWidth="10" defaultRowHeight="16" x14ac:dyDescent="0.2"/>
  <cols>
    <col min="1" max="1" width="14.1640625" style="2" bestFit="1" customWidth="1"/>
    <col min="2" max="5" width="10.83203125" style="2"/>
    <col min="6" max="6" width="12.33203125" customWidth="1"/>
    <col min="7" max="7" width="14.33203125" bestFit="1" customWidth="1"/>
    <col min="8" max="8" width="13" bestFit="1" customWidth="1"/>
    <col min="9" max="9" width="9.83203125" bestFit="1" customWidth="1"/>
  </cols>
  <sheetData>
    <row r="2" spans="1:11" s="4" customFormat="1" x14ac:dyDescent="0.2">
      <c r="A2" s="26" t="s">
        <v>16</v>
      </c>
      <c r="B2" s="26"/>
      <c r="C2" s="26"/>
      <c r="D2" s="26"/>
      <c r="E2" s="26"/>
      <c r="F2" s="26"/>
      <c r="G2" s="26"/>
      <c r="H2" s="26"/>
      <c r="I2" s="26"/>
    </row>
    <row r="3" spans="1:11" s="4" customFormat="1" x14ac:dyDescent="0.2">
      <c r="A3" s="25"/>
      <c r="B3" s="17" t="s">
        <v>5</v>
      </c>
      <c r="C3" s="18" t="s">
        <v>8</v>
      </c>
      <c r="D3" s="18" t="s">
        <v>7</v>
      </c>
      <c r="E3" s="19" t="s">
        <v>9</v>
      </c>
      <c r="F3" s="19" t="s">
        <v>10</v>
      </c>
      <c r="G3" s="19" t="s">
        <v>11</v>
      </c>
      <c r="H3" s="19" t="s">
        <v>12</v>
      </c>
      <c r="I3" s="19" t="s">
        <v>13</v>
      </c>
    </row>
    <row r="4" spans="1:11" x14ac:dyDescent="0.2">
      <c r="A4" s="20" t="s">
        <v>3</v>
      </c>
      <c r="B4" s="21">
        <v>0.8</v>
      </c>
      <c r="C4" s="22">
        <v>0.8</v>
      </c>
      <c r="D4" s="22">
        <v>0.8</v>
      </c>
      <c r="E4" s="22">
        <v>0.8</v>
      </c>
      <c r="F4" s="22">
        <v>0.8</v>
      </c>
      <c r="G4" s="22">
        <v>0.8</v>
      </c>
      <c r="H4" s="22">
        <v>0.95</v>
      </c>
      <c r="I4" s="22">
        <v>0.95</v>
      </c>
    </row>
    <row r="5" spans="1:11" x14ac:dyDescent="0.2">
      <c r="A5" s="20" t="s">
        <v>2</v>
      </c>
      <c r="B5" s="22">
        <v>0.1</v>
      </c>
      <c r="C5" s="22">
        <v>0.2</v>
      </c>
      <c r="D5" s="22">
        <v>0.05</v>
      </c>
      <c r="E5" s="22">
        <v>0.1</v>
      </c>
      <c r="F5" s="22">
        <v>0.1</v>
      </c>
      <c r="G5" s="22">
        <v>0.1</v>
      </c>
      <c r="H5" s="22">
        <v>0.05</v>
      </c>
      <c r="I5" s="22">
        <v>0.01</v>
      </c>
    </row>
    <row r="6" spans="1:11" x14ac:dyDescent="0.2">
      <c r="A6" s="20" t="s">
        <v>0</v>
      </c>
      <c r="B6" s="23">
        <v>50</v>
      </c>
      <c r="C6" s="23">
        <v>50</v>
      </c>
      <c r="D6" s="23">
        <v>50</v>
      </c>
      <c r="E6" s="23">
        <v>25</v>
      </c>
      <c r="F6" s="23">
        <v>100</v>
      </c>
      <c r="G6" s="23">
        <v>50</v>
      </c>
      <c r="H6" s="23">
        <v>50</v>
      </c>
      <c r="I6" s="23">
        <v>50</v>
      </c>
    </row>
    <row r="7" spans="1:11" x14ac:dyDescent="0.2">
      <c r="A7" s="20" t="s">
        <v>1</v>
      </c>
      <c r="B7" s="23">
        <v>50</v>
      </c>
      <c r="C7" s="23">
        <v>50</v>
      </c>
      <c r="D7" s="23">
        <v>50</v>
      </c>
      <c r="E7" s="23">
        <v>50</v>
      </c>
      <c r="F7" s="23">
        <v>50</v>
      </c>
      <c r="G7" s="23">
        <v>100</v>
      </c>
      <c r="H7" s="23">
        <v>50</v>
      </c>
      <c r="I7" s="23">
        <v>100</v>
      </c>
    </row>
    <row r="8" spans="1:11" x14ac:dyDescent="0.2">
      <c r="A8" s="20" t="s">
        <v>4</v>
      </c>
      <c r="B8" s="24">
        <f t="shared" ref="B8:I8" si="0">PRODUCT(B6:B7)</f>
        <v>2500</v>
      </c>
      <c r="C8" s="24">
        <f t="shared" si="0"/>
        <v>2500</v>
      </c>
      <c r="D8" s="24">
        <f t="shared" si="0"/>
        <v>2500</v>
      </c>
      <c r="E8" s="24">
        <f t="shared" si="0"/>
        <v>1250</v>
      </c>
      <c r="F8" s="24">
        <f t="shared" si="0"/>
        <v>5000</v>
      </c>
      <c r="G8" s="24">
        <f t="shared" si="0"/>
        <v>5000</v>
      </c>
      <c r="H8" s="24">
        <f t="shared" si="0"/>
        <v>2500</v>
      </c>
      <c r="I8" s="24">
        <f t="shared" si="0"/>
        <v>5000</v>
      </c>
    </row>
    <row r="9" spans="1:11" x14ac:dyDescent="0.2">
      <c r="A9" s="27" t="s">
        <v>15</v>
      </c>
      <c r="B9" s="27"/>
      <c r="C9" s="27"/>
      <c r="D9" s="27"/>
      <c r="E9" s="27"/>
      <c r="F9" s="27"/>
      <c r="G9" s="27"/>
      <c r="H9" s="27"/>
      <c r="I9" s="27"/>
    </row>
    <row r="10" spans="1:11" x14ac:dyDescent="0.2">
      <c r="A10" s="11" t="s">
        <v>14</v>
      </c>
      <c r="B10" s="15">
        <v>1.7589999999999999</v>
      </c>
      <c r="C10" s="16" t="s">
        <v>32</v>
      </c>
      <c r="D10" s="16">
        <v>0.31</v>
      </c>
      <c r="E10" s="16">
        <v>1.038</v>
      </c>
      <c r="F10" s="16">
        <v>0.30199999999999999</v>
      </c>
      <c r="G10" s="16">
        <v>1.915</v>
      </c>
      <c r="H10" s="16">
        <v>0.73499999999999999</v>
      </c>
      <c r="I10" s="16">
        <v>1.8879999999999999</v>
      </c>
      <c r="K10" s="5" t="s">
        <v>41</v>
      </c>
    </row>
    <row r="11" spans="1:11" x14ac:dyDescent="0.2">
      <c r="A11" s="13" t="s">
        <v>25</v>
      </c>
      <c r="B11" s="12">
        <v>115</v>
      </c>
      <c r="C11" s="12">
        <v>205</v>
      </c>
      <c r="D11" s="12">
        <v>91</v>
      </c>
      <c r="E11" s="12">
        <v>103</v>
      </c>
      <c r="F11" s="12">
        <v>149</v>
      </c>
      <c r="G11" s="12">
        <v>118</v>
      </c>
      <c r="H11" s="13">
        <v>205</v>
      </c>
      <c r="I11" s="13">
        <v>174</v>
      </c>
      <c r="K11" s="28">
        <v>8520.125</v>
      </c>
    </row>
    <row r="12" spans="1:11" x14ac:dyDescent="0.2">
      <c r="A12" s="13" t="s">
        <v>26</v>
      </c>
      <c r="B12" s="12">
        <v>62</v>
      </c>
      <c r="C12" s="12">
        <v>101</v>
      </c>
      <c r="D12" s="12">
        <v>37</v>
      </c>
      <c r="E12" s="12">
        <v>65</v>
      </c>
      <c r="F12" s="12">
        <v>72</v>
      </c>
      <c r="G12" s="12">
        <v>57</v>
      </c>
      <c r="H12" s="13">
        <v>94</v>
      </c>
      <c r="I12" s="13">
        <v>83</v>
      </c>
    </row>
    <row r="13" spans="1:11" x14ac:dyDescent="0.2">
      <c r="A13" s="13" t="s">
        <v>27</v>
      </c>
      <c r="B13" s="14">
        <f t="shared" ref="B13:H13" si="1">B12/B11</f>
        <v>0.53913043478260869</v>
      </c>
      <c r="C13" s="14">
        <f t="shared" si="1"/>
        <v>0.49268292682926829</v>
      </c>
      <c r="D13" s="14">
        <f t="shared" si="1"/>
        <v>0.40659340659340659</v>
      </c>
      <c r="E13" s="14">
        <f t="shared" si="1"/>
        <v>0.6310679611650486</v>
      </c>
      <c r="F13" s="14">
        <f t="shared" si="1"/>
        <v>0.48322147651006714</v>
      </c>
      <c r="G13" s="14">
        <f t="shared" si="1"/>
        <v>0.48305084745762711</v>
      </c>
      <c r="H13" s="14">
        <f t="shared" si="1"/>
        <v>0.45853658536585368</v>
      </c>
      <c r="I13" s="14">
        <f>I12/I11</f>
        <v>0.47701149425287354</v>
      </c>
    </row>
    <row r="14" spans="1:11" x14ac:dyDescent="0.2">
      <c r="A14" s="8" t="s">
        <v>30</v>
      </c>
      <c r="B14" s="9">
        <v>285.58981199999999</v>
      </c>
      <c r="C14" s="9">
        <v>285.77920999999998</v>
      </c>
      <c r="D14" s="9">
        <v>298.129276</v>
      </c>
      <c r="E14" s="9">
        <v>283.02445899999998</v>
      </c>
      <c r="F14" s="9">
        <v>289.99498199999999</v>
      </c>
      <c r="G14" s="9">
        <v>287.56047799999999</v>
      </c>
      <c r="H14" s="9">
        <v>275.49705999999998</v>
      </c>
      <c r="I14" s="9">
        <v>267.62792999999999</v>
      </c>
    </row>
    <row r="15" spans="1:11" x14ac:dyDescent="0.2">
      <c r="A15" s="8" t="s">
        <v>17</v>
      </c>
      <c r="B15" s="10">
        <f t="shared" ref="B15:H15" si="2">B14/8520.13-1</f>
        <v>-0.96648058046062679</v>
      </c>
      <c r="C15" s="10">
        <f t="shared" si="2"/>
        <v>-0.96645835098760235</v>
      </c>
      <c r="D15" s="10">
        <f t="shared" si="2"/>
        <v>-0.96500883484172184</v>
      </c>
      <c r="E15" s="10">
        <f t="shared" si="2"/>
        <v>-0.96678167363643508</v>
      </c>
      <c r="F15" s="10">
        <f>F14/8520.13-1</f>
        <v>-0.96596354961720066</v>
      </c>
      <c r="G15" s="10">
        <f>G14/8520.13-1</f>
        <v>-0.96624928516348929</v>
      </c>
      <c r="H15" s="10">
        <f t="shared" si="2"/>
        <v>-0.96766515769125583</v>
      </c>
      <c r="I15" s="10">
        <f>I14/8520.13-1</f>
        <v>-0.96858875040639048</v>
      </c>
    </row>
    <row r="16" spans="1:11" x14ac:dyDescent="0.2">
      <c r="A16" s="8" t="s">
        <v>28</v>
      </c>
      <c r="B16" s="8">
        <v>-2.6276290000000002</v>
      </c>
      <c r="C16" s="8">
        <v>-2.6345939999999999</v>
      </c>
      <c r="D16" s="8">
        <v>-2.6394319999999998</v>
      </c>
      <c r="E16" s="8">
        <v>-2.6360619999999999</v>
      </c>
      <c r="F16" s="8">
        <v>-2.627472</v>
      </c>
      <c r="G16" s="8">
        <v>-2.6349649999999998</v>
      </c>
      <c r="H16" s="8">
        <v>-2.6451280000000001</v>
      </c>
      <c r="I16" s="8">
        <v>-2.6480959999999998</v>
      </c>
    </row>
    <row r="17" spans="1:12" x14ac:dyDescent="0.2">
      <c r="A17" s="8" t="s">
        <v>29</v>
      </c>
      <c r="B17" s="8">
        <v>-0.74498399999999998</v>
      </c>
      <c r="C17" s="8">
        <v>-0.75285100000000005</v>
      </c>
      <c r="D17" s="8">
        <v>-0.758243</v>
      </c>
      <c r="E17" s="8">
        <v>-0.75418499999999999</v>
      </c>
      <c r="F17" s="8">
        <v>-0.74495800000000001</v>
      </c>
      <c r="G17" s="8">
        <v>-0.75336800000000004</v>
      </c>
      <c r="H17" s="8" t="s">
        <v>31</v>
      </c>
      <c r="I17" s="8">
        <v>-0.76783100000000004</v>
      </c>
    </row>
    <row r="18" spans="1:12" x14ac:dyDescent="0.2">
      <c r="F18" s="5" t="s">
        <v>34</v>
      </c>
      <c r="I18" s="5" t="s">
        <v>33</v>
      </c>
    </row>
    <row r="19" spans="1:12" x14ac:dyDescent="0.2">
      <c r="I19" s="5"/>
    </row>
    <row r="20" spans="1:12" ht="17" x14ac:dyDescent="0.2">
      <c r="E20"/>
      <c r="K20" s="7"/>
      <c r="L20" s="6"/>
    </row>
    <row r="21" spans="1:12" x14ac:dyDescent="0.2">
      <c r="A21" s="29" t="s">
        <v>24</v>
      </c>
      <c r="B21" s="30"/>
      <c r="C21" s="30"/>
      <c r="D21" s="30"/>
      <c r="E21" s="31"/>
      <c r="F21" s="31"/>
    </row>
    <row r="22" spans="1:12" x14ac:dyDescent="0.2">
      <c r="A22" s="32" t="s">
        <v>19</v>
      </c>
      <c r="B22" s="32" t="s">
        <v>20</v>
      </c>
      <c r="C22" s="32" t="s">
        <v>21</v>
      </c>
      <c r="D22" s="32" t="s">
        <v>22</v>
      </c>
      <c r="E22" s="32" t="s">
        <v>18</v>
      </c>
      <c r="F22" s="31"/>
    </row>
    <row r="23" spans="1:12" x14ac:dyDescent="0.2">
      <c r="A23" s="32">
        <v>267627930</v>
      </c>
      <c r="B23" s="32">
        <v>-2.613</v>
      </c>
      <c r="C23" s="32">
        <v>-0.72799999999999998</v>
      </c>
      <c r="D23" s="32">
        <v>0.57474099999999995</v>
      </c>
      <c r="E23" s="32">
        <v>2.1278549999999998</v>
      </c>
      <c r="F23" s="30"/>
    </row>
    <row r="24" spans="1:12" ht="17" x14ac:dyDescent="0.2">
      <c r="A24" s="32" t="s">
        <v>23</v>
      </c>
      <c r="B24" s="32"/>
      <c r="C24" s="32"/>
      <c r="D24" s="32"/>
      <c r="E24" s="32"/>
      <c r="F24" s="31"/>
      <c r="I24" s="6"/>
    </row>
    <row r="27" spans="1:12" x14ac:dyDescent="0.2">
      <c r="A27" s="1"/>
    </row>
    <row r="31" spans="1:12" x14ac:dyDescent="0.2">
      <c r="H31" s="2"/>
      <c r="I31" s="2"/>
    </row>
    <row r="33" spans="3:6" x14ac:dyDescent="0.2">
      <c r="C33" s="1"/>
      <c r="D33" s="1"/>
      <c r="E33" s="1"/>
      <c r="F33" s="1"/>
    </row>
    <row r="40" spans="3:6" ht="17" x14ac:dyDescent="0.25">
      <c r="F40" s="3"/>
    </row>
    <row r="56" spans="6:10" ht="17" x14ac:dyDescent="0.25">
      <c r="F56" s="3"/>
      <c r="G56" s="3"/>
      <c r="J56" s="3"/>
    </row>
    <row r="70" spans="10:10" ht="17" x14ac:dyDescent="0.25">
      <c r="J70" s="3"/>
    </row>
    <row r="84" spans="6:6" ht="17" x14ac:dyDescent="0.25">
      <c r="F84" s="3"/>
    </row>
    <row r="98" spans="6:6" ht="17" x14ac:dyDescent="0.25">
      <c r="F98" s="3"/>
    </row>
  </sheetData>
  <mergeCells count="2">
    <mergeCell ref="A2:I2"/>
    <mergeCell ref="A9:I9"/>
  </mergeCells>
  <pageMargins left="0.7" right="0.7" top="0.75" bottom="0.75" header="0.3" footer="0.3"/>
  <pageSetup paperSize="9" orientation="portrait" horizontalDpi="0" verticalDpi="0"/>
  <ignoredErrors>
    <ignoredError sqref="B8:F8 G8:I8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D588-1148-0E42-9E50-91374B80DAD2}">
  <dimension ref="A1:J29"/>
  <sheetViews>
    <sheetView workbookViewId="0">
      <selection activeCell="C8" sqref="C8"/>
    </sheetView>
  </sheetViews>
  <sheetFormatPr baseColWidth="10" defaultRowHeight="16" x14ac:dyDescent="0.2"/>
  <sheetData>
    <row r="1" spans="1:8" x14ac:dyDescent="0.2">
      <c r="A1" s="2"/>
      <c r="B1" s="2"/>
      <c r="C1" s="2"/>
      <c r="D1" s="2"/>
      <c r="E1" s="2"/>
    </row>
    <row r="2" spans="1:8" x14ac:dyDescent="0.2">
      <c r="A2" s="26" t="s">
        <v>16</v>
      </c>
      <c r="B2" s="26"/>
      <c r="C2" s="26"/>
      <c r="D2" s="26"/>
      <c r="E2" s="26"/>
      <c r="F2" s="26"/>
    </row>
    <row r="3" spans="1:8" x14ac:dyDescent="0.2">
      <c r="A3" s="25"/>
      <c r="B3" s="19" t="s">
        <v>6</v>
      </c>
      <c r="C3" s="19" t="s">
        <v>35</v>
      </c>
      <c r="D3" s="18" t="s">
        <v>36</v>
      </c>
      <c r="E3" s="19" t="s">
        <v>37</v>
      </c>
      <c r="F3" s="19" t="s">
        <v>38</v>
      </c>
    </row>
    <row r="4" spans="1:8" x14ac:dyDescent="0.2">
      <c r="A4" s="20" t="s">
        <v>3</v>
      </c>
      <c r="B4" s="22">
        <v>0.95</v>
      </c>
      <c r="C4" s="22">
        <v>0.95</v>
      </c>
      <c r="D4" s="22">
        <v>0.95</v>
      </c>
      <c r="E4" s="22" t="s">
        <v>40</v>
      </c>
      <c r="F4" s="22">
        <v>0.95</v>
      </c>
    </row>
    <row r="5" spans="1:8" x14ac:dyDescent="0.2">
      <c r="A5" s="20" t="s">
        <v>2</v>
      </c>
      <c r="B5" s="22">
        <v>0.01</v>
      </c>
      <c r="C5" s="22">
        <v>0.01</v>
      </c>
      <c r="D5" s="22">
        <v>0.01</v>
      </c>
      <c r="E5" s="22">
        <v>0.5</v>
      </c>
      <c r="F5" s="22">
        <v>0.01</v>
      </c>
    </row>
    <row r="6" spans="1:8" x14ac:dyDescent="0.2">
      <c r="A6" s="20" t="s">
        <v>0</v>
      </c>
      <c r="B6" s="23">
        <v>50</v>
      </c>
      <c r="C6" s="23">
        <v>50</v>
      </c>
      <c r="D6" s="23">
        <v>50</v>
      </c>
      <c r="E6" s="23">
        <v>50</v>
      </c>
      <c r="F6" s="23">
        <v>165</v>
      </c>
    </row>
    <row r="7" spans="1:8" x14ac:dyDescent="0.2">
      <c r="A7" s="20" t="s">
        <v>1</v>
      </c>
      <c r="B7" s="23">
        <v>100</v>
      </c>
      <c r="C7" s="23">
        <v>100</v>
      </c>
      <c r="D7" s="23">
        <v>100</v>
      </c>
      <c r="E7" s="23">
        <v>5000</v>
      </c>
      <c r="F7" s="23">
        <v>25</v>
      </c>
    </row>
    <row r="8" spans="1:8" x14ac:dyDescent="0.2">
      <c r="A8" s="20" t="s">
        <v>4</v>
      </c>
      <c r="B8" s="24">
        <f>PRODUCT(B6:B7)</f>
        <v>5000</v>
      </c>
      <c r="C8" s="24">
        <f t="shared" ref="C8:D8" si="0">PRODUCT(C6:C7)</f>
        <v>5000</v>
      </c>
      <c r="D8" s="24">
        <f t="shared" si="0"/>
        <v>5000</v>
      </c>
      <c r="E8" s="24">
        <v>5001</v>
      </c>
      <c r="F8" s="24">
        <v>4291</v>
      </c>
    </row>
    <row r="9" spans="1:8" x14ac:dyDescent="0.2">
      <c r="A9" s="27" t="s">
        <v>15</v>
      </c>
      <c r="B9" s="27"/>
      <c r="C9" s="27"/>
      <c r="D9" s="27"/>
      <c r="E9" s="27"/>
      <c r="F9" s="27"/>
    </row>
    <row r="10" spans="1:8" x14ac:dyDescent="0.2">
      <c r="A10" s="11" t="s">
        <v>14</v>
      </c>
      <c r="B10" s="16">
        <v>1.8879999999999999</v>
      </c>
      <c r="C10" s="16">
        <v>1.0149999999999999</v>
      </c>
      <c r="D10" s="16">
        <v>0.76600000000000001</v>
      </c>
      <c r="E10" s="16">
        <v>0.27300000000000002</v>
      </c>
      <c r="F10" s="16">
        <v>1.5509999999999999</v>
      </c>
      <c r="H10" s="5" t="s">
        <v>41</v>
      </c>
    </row>
    <row r="11" spans="1:8" x14ac:dyDescent="0.2">
      <c r="A11" s="13" t="s">
        <v>25</v>
      </c>
      <c r="B11" s="13">
        <v>174</v>
      </c>
      <c r="C11" s="12">
        <v>292</v>
      </c>
      <c r="D11" s="12">
        <v>220</v>
      </c>
      <c r="E11" s="12">
        <v>17</v>
      </c>
      <c r="F11" s="12">
        <v>132</v>
      </c>
      <c r="H11" s="28">
        <v>8520.125</v>
      </c>
    </row>
    <row r="12" spans="1:8" x14ac:dyDescent="0.2">
      <c r="A12" s="13" t="s">
        <v>26</v>
      </c>
      <c r="B12" s="13">
        <v>83</v>
      </c>
      <c r="C12" s="12">
        <v>155</v>
      </c>
      <c r="D12" s="12">
        <v>125</v>
      </c>
      <c r="E12" s="12">
        <v>5</v>
      </c>
      <c r="F12" s="12">
        <v>75</v>
      </c>
    </row>
    <row r="13" spans="1:8" x14ac:dyDescent="0.2">
      <c r="A13" s="13" t="s">
        <v>27</v>
      </c>
      <c r="B13" s="14">
        <f>B12/B11</f>
        <v>0.47701149425287354</v>
      </c>
      <c r="C13" s="14">
        <f t="shared" ref="C13:F13" si="1">C12/C11</f>
        <v>0.53082191780821919</v>
      </c>
      <c r="D13" s="14">
        <f t="shared" si="1"/>
        <v>0.56818181818181823</v>
      </c>
      <c r="E13" s="14">
        <f t="shared" si="1"/>
        <v>0.29411764705882354</v>
      </c>
      <c r="F13" s="14">
        <f t="shared" si="1"/>
        <v>0.56818181818181823</v>
      </c>
    </row>
    <row r="14" spans="1:8" x14ac:dyDescent="0.2">
      <c r="A14" s="8" t="s">
        <v>30</v>
      </c>
      <c r="B14" s="9">
        <v>267.83130199999999</v>
      </c>
      <c r="C14" s="9">
        <v>258.678358</v>
      </c>
      <c r="D14" s="9">
        <v>276.63241399999998</v>
      </c>
      <c r="E14" s="9">
        <v>417.06152300000002</v>
      </c>
      <c r="F14" s="9">
        <v>251.618763</v>
      </c>
    </row>
    <row r="15" spans="1:8" x14ac:dyDescent="0.2">
      <c r="A15" s="8" t="s">
        <v>17</v>
      </c>
      <c r="B15" s="10">
        <f>B14/8520.13-1</f>
        <v>-0.96856488081754621</v>
      </c>
      <c r="C15" s="10">
        <f>C14/8520.13-1</f>
        <v>-0.96963915362793762</v>
      </c>
      <c r="D15" s="10">
        <f>D14/8520.13-1</f>
        <v>-0.96753190221275964</v>
      </c>
      <c r="E15" s="10">
        <f t="shared" ref="E15:F15" si="2">E14/8520.13-1</f>
        <v>-0.95104986391052715</v>
      </c>
      <c r="F15" s="10">
        <f t="shared" si="2"/>
        <v>-0.97046773194775193</v>
      </c>
    </row>
    <row r="16" spans="1:8" x14ac:dyDescent="0.2">
      <c r="A16" s="8" t="s">
        <v>28</v>
      </c>
      <c r="B16" s="8">
        <v>-2.6480959999999998</v>
      </c>
      <c r="C16" s="8">
        <v>-2.651303</v>
      </c>
      <c r="D16" s="8">
        <v>-2.6390159999999998</v>
      </c>
      <c r="E16" s="8">
        <v>-2.5901999999999998</v>
      </c>
      <c r="F16" s="8">
        <v>-2.7136</v>
      </c>
    </row>
    <row r="17" spans="1:10" x14ac:dyDescent="0.2">
      <c r="A17" s="8" t="s">
        <v>29</v>
      </c>
      <c r="B17" s="8">
        <v>-0.76783100000000004</v>
      </c>
      <c r="C17" s="8">
        <v>-0.77133499999999999</v>
      </c>
      <c r="D17" s="8">
        <v>-0.75779200000000002</v>
      </c>
      <c r="E17" s="8">
        <v>-0.70399999999999996</v>
      </c>
      <c r="F17" s="8">
        <v>-0.79364000000000001</v>
      </c>
    </row>
    <row r="18" spans="1:10" x14ac:dyDescent="0.2">
      <c r="A18" s="2"/>
      <c r="B18" s="5" t="s">
        <v>33</v>
      </c>
      <c r="C18" s="2"/>
      <c r="D18" s="2"/>
      <c r="E18" s="2"/>
      <c r="F18" s="5" t="s">
        <v>39</v>
      </c>
    </row>
    <row r="19" spans="1:10" x14ac:dyDescent="0.2">
      <c r="A19" s="2"/>
      <c r="B19" s="2"/>
      <c r="C19" s="2"/>
      <c r="D19" s="2"/>
      <c r="E19" s="2"/>
    </row>
    <row r="20" spans="1:10" x14ac:dyDescent="0.2">
      <c r="A20" s="2"/>
      <c r="B20" s="2"/>
      <c r="C20" s="2"/>
      <c r="D20" s="2"/>
      <c r="E20" s="2"/>
    </row>
    <row r="29" spans="1:10" ht="17" x14ac:dyDescent="0.2">
      <c r="H29" s="6"/>
      <c r="I29" s="6"/>
      <c r="J29" s="7"/>
    </row>
  </sheetData>
  <mergeCells count="2">
    <mergeCell ref="A2:F2"/>
    <mergeCell ref="A9:F9"/>
  </mergeCells>
  <pageMargins left="0.7" right="0.7" top="0.75" bottom="0.75" header="0.3" footer="0.3"/>
  <ignoredErrors>
    <ignoredError sqref="B8 C8:D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NSGA-II</vt:lpstr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Manuel LLoveras</dc:creator>
  <cp:lastModifiedBy>Alejandro Manuel LLoveras</cp:lastModifiedBy>
  <dcterms:created xsi:type="dcterms:W3CDTF">2025-06-18T04:31:07Z</dcterms:created>
  <dcterms:modified xsi:type="dcterms:W3CDTF">2025-06-22T16:22:04Z</dcterms:modified>
</cp:coreProperties>
</file>